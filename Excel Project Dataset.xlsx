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mo761\Downloads\"/>
    </mc:Choice>
  </mc:AlternateContent>
  <xr:revisionPtr revIDLastSave="0" documentId="13_ncr:1_{1656393D-E1E3-450C-AEAC-BE2E6E05A9E4}"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34"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<sst xmlns="http://schemas.openxmlformats.org/spreadsheetml/2006/main" count="16274" uniqueCount="51">
  <si>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</si>
  <si>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</si>
  <si>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</si>
  <si>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</si>
  <si>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</si>
  <si>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</si>
  <si>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</si>
  <si>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</si>
  <si>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</si>
  <si>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</si>
  <si>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</si>
  <si>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</si>
  <si>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</si>
  <si>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</si>
  <si>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</si>
  <si>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</si>
  <si>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</si>
  <si>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</si>
  <si>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</si>
  <si>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</si>
  <si>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</si>
  <si>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</si>
  <si>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</si>
  <si>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</si>
  <si>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</si>
  <si>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</si>
  <si>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</si>
  <si>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</si>
  <si>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</si>
  <si>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</si>
  <si>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</si>
  <si>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</si>
  <si>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</si>
  <si>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</si>
  <si>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</si>
  <si>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</si>
  <si>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</si>
  <si>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</si>
  <si>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</si>
  <si>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</si>
  <si>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</si>
  <si>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</si>
  <si>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</si>
  <si>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</si>
  <si>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</si>
  <si>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</si>
  <si>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10 Miles +</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</si>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</sst>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7"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7"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33" borderId="0" xfId="0" applyFill="1"/>
    <xf numFmtId="0" fontId="19" fillId="33" borderId="0" xfId="0" applyFont="1" applyFill="1" applyAlignment="1">
      <alignment horizontal="left" vertical="center" indent="16"/>
    </xf>
    <xf numFmtId="0" fontId="0" fillId="33" borderId="0" xfId="0" applyFill="1" applyAlignment="1">
      <alignment horizontal="left" vertical="center" indent="16"/>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layout>
        <c:manualLayout>
          <c:xMode val="edge"/>
          <c:yMode val="edge"/>
          <c:x val="0.2572845581802275"/>
          <c:y val="0.114720034995625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Table'!$B$2:$B$3</c:f>
              <c:strCache>
                <c:ptCount val="1"/>
                <c:pt idx="0">
                  <c:v>No</c:v>
                </c:pt>
              </c:strCache>
            </c:strRef>
          </c:tx>
          <c:spPr>
            <a:solidFill>
              <a:schemeClr val="accent1"/>
            </a:solidFill>
            <a:ln>
              <a:noFill/>
            </a:ln>
            <a:effectLst/>
          </c:spPr>
          <c:invertIfNegative val="0"/>
          <c:cat>
            <c:strRef>
              <c:f>'pivot Table'!$A$4:$A$6</c:f>
              <c:strCache>
                <c:ptCount val="2"/>
                <c:pt idx="0">
                  <c:v>Female</c:v>
                </c:pt>
                <c:pt idx="1">
                  <c:v>Male</c:v>
                </c:pt>
              </c:strCache>
            </c:strRef>
          </c:cat>
          <c:val>
            <c:numRef>
              <c:f>'pivot Table'!$B$4:$B$6</c:f>
              <c:numCache>
                <c:formatCode>"$"#,##0</c:formatCode>
                <c:ptCount val="2"/>
                <c:pt idx="0">
                  <c:v>53440</c:v>
                </c:pt>
                <c:pt idx="1">
                  <c:v>56208.178438661707</c:v>
                </c:pt>
              </c:numCache>
            </c:numRef>
          </c:val>
          <c:extLst>
            <c:ext xmlns:c16="http://schemas.microsoft.com/office/drawing/2014/chart" uri="{C3380CC4-5D6E-409C-BE32-E72D297353CC}">
              <c16:uniqueId val="{00000000-DE5A-40B2-ADDA-70CB3AEAC922}"/>
            </c:ext>
          </c:extLst>
        </c:ser>
        <c:ser>
          <c:idx val="1"/>
          <c:order val="1"/>
          <c:tx>
            <c:strRef>
              <c:f>'pivot Table'!$C$2:$C$3</c:f>
              <c:strCache>
                <c:ptCount val="1"/>
                <c:pt idx="0">
                  <c:v>Yes</c:v>
                </c:pt>
              </c:strCache>
            </c:strRef>
          </c:tx>
          <c:spPr>
            <a:solidFill>
              <a:schemeClr val="accent2"/>
            </a:solidFill>
            <a:ln>
              <a:noFill/>
            </a:ln>
            <a:effectLst/>
          </c:spPr>
          <c:invertIfNegative val="0"/>
          <c:cat>
            <c:strRef>
              <c:f>'pivot Table'!$A$4:$A$6</c:f>
              <c:strCache>
                <c:ptCount val="2"/>
                <c:pt idx="0">
                  <c:v>Female</c:v>
                </c:pt>
                <c:pt idx="1">
                  <c:v>Male</c:v>
                </c:pt>
              </c:strCache>
            </c:strRef>
          </c:cat>
          <c:val>
            <c:numRef>
              <c:f>'pivot Table'!$C$4:$C$6</c:f>
              <c:numCache>
                <c:formatCode>"$"#,##0</c:formatCode>
                <c:ptCount val="2"/>
                <c:pt idx="0">
                  <c:v>55774.058577405856</c:v>
                </c:pt>
                <c:pt idx="1">
                  <c:v>60123.966942148763</c:v>
                </c:pt>
              </c:numCache>
            </c:numRef>
          </c:val>
          <c:extLst>
            <c:ext xmlns:c16="http://schemas.microsoft.com/office/drawing/2014/chart" uri="{C3380CC4-5D6E-409C-BE32-E72D297353CC}">
              <c16:uniqueId val="{00000001-DE5A-40B2-ADDA-70CB3AEAC922}"/>
            </c:ext>
          </c:extLst>
        </c:ser>
        <c:dLbls>
          <c:showLegendKey val="0"/>
          <c:showVal val="0"/>
          <c:showCatName val="0"/>
          <c:showSerName val="0"/>
          <c:showPercent val="0"/>
          <c:showBubbleSize val="0"/>
        </c:dLbls>
        <c:gapWidth val="219"/>
        <c:overlap val="-27"/>
        <c:axId val="1276917696"/>
        <c:axId val="451385648"/>
      </c:barChart>
      <c:catAx>
        <c:axId val="12769176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1385648"/>
        <c:crosses val="autoZero"/>
        <c:auto val="1"/>
        <c:lblAlgn val="ctr"/>
        <c:lblOffset val="100"/>
        <c:noMultiLvlLbl val="0"/>
      </c:catAx>
      <c:valAx>
        <c:axId val="4513856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layout>
            <c:manualLayout>
              <c:xMode val="edge"/>
              <c:yMode val="edge"/>
              <c:x val="2.2222222222222223E-2"/>
              <c:y val="0.3434066054243219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691769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p>
        </c:rich>
      </c:tx>
      <c:layout>
        <c:manualLayout>
          <c:xMode val="edge"/>
          <c:yMode val="edge"/>
          <c:x val="0.31227077865266839"/>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Table'!$C$21:$C$22</c:f>
              <c:strCache>
                <c:ptCount val="1"/>
                <c:pt idx="0">
                  <c:v>No</c:v>
                </c:pt>
              </c:strCache>
            </c:strRef>
          </c:tx>
          <c:spPr>
            <a:ln w="28575" cap="rnd">
              <a:solidFill>
                <a:schemeClr val="accent1"/>
              </a:solidFill>
              <a:round/>
            </a:ln>
            <a:effectLst/>
          </c:spPr>
          <c:marker>
            <c:symbol val="none"/>
          </c:marker>
          <c:cat>
            <c:strRef>
              <c:f>'pivot Table'!$B$23:$B$28</c:f>
              <c:strCache>
                <c:ptCount val="5"/>
                <c:pt idx="0">
                  <c:v>0-1 Miles</c:v>
                </c:pt>
                <c:pt idx="1">
                  <c:v>1-2 Miles</c:v>
                </c:pt>
                <c:pt idx="2">
                  <c:v>2-5 Miles</c:v>
                </c:pt>
                <c:pt idx="3">
                  <c:v>5-10 Miles</c:v>
                </c:pt>
                <c:pt idx="4">
                  <c:v>10 Miles +</c:v>
                </c:pt>
              </c:strCache>
            </c:strRef>
          </c:cat>
          <c:val>
            <c:numRef>
              <c:f>'pivot Table'!$C$23:$C$28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A89C-4A75-BFE4-DF6A7C8EC59B}"/>
            </c:ext>
          </c:extLst>
        </c:ser>
        <c:ser>
          <c:idx val="1"/>
          <c:order val="1"/>
          <c:tx>
            <c:strRef>
              <c:f>'pivot Table'!$D$21:$D$22</c:f>
              <c:strCache>
                <c:ptCount val="1"/>
                <c:pt idx="0">
                  <c:v>Yes</c:v>
                </c:pt>
              </c:strCache>
            </c:strRef>
          </c:tx>
          <c:spPr>
            <a:ln w="28575" cap="rnd">
              <a:solidFill>
                <a:schemeClr val="accent2"/>
              </a:solidFill>
              <a:round/>
            </a:ln>
            <a:effectLst/>
          </c:spPr>
          <c:marker>
            <c:symbol val="none"/>
          </c:marker>
          <c:cat>
            <c:strRef>
              <c:f>'pivot Table'!$B$23:$B$28</c:f>
              <c:strCache>
                <c:ptCount val="5"/>
                <c:pt idx="0">
                  <c:v>0-1 Miles</c:v>
                </c:pt>
                <c:pt idx="1">
                  <c:v>1-2 Miles</c:v>
                </c:pt>
                <c:pt idx="2">
                  <c:v>2-5 Miles</c:v>
                </c:pt>
                <c:pt idx="3">
                  <c:v>5-10 Miles</c:v>
                </c:pt>
                <c:pt idx="4">
                  <c:v>10 Miles +</c:v>
                </c:pt>
              </c:strCache>
            </c:strRef>
          </c:cat>
          <c:val>
            <c:numRef>
              <c:f>'pivot Table'!$D$23:$D$28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A89C-4A75-BFE4-DF6A7C8EC59B}"/>
            </c:ext>
          </c:extLst>
        </c:ser>
        <c:dLbls>
          <c:showLegendKey val="0"/>
          <c:showVal val="0"/>
          <c:showCatName val="0"/>
          <c:showSerName val="0"/>
          <c:showPercent val="0"/>
          <c:showBubbleSize val="0"/>
        </c:dLbls>
        <c:smooth val="0"/>
        <c:axId val="1279338240"/>
        <c:axId val="1279337760"/>
      </c:lineChart>
      <c:catAx>
        <c:axId val="12793382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p>
            </c:rich>
          </c:tx>
          <c:layout>
            <c:manualLayout>
              <c:xMode val="edge"/>
              <c:yMode val="edge"/>
              <c:x val="0.35298490813648287"/>
              <c:y val="0.8009973753280840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337760"/>
        <c:crosses val="autoZero"/>
        <c:auto val="1"/>
        <c:lblAlgn val="ctr"/>
        <c:lblOffset val="100"/>
        <c:noMultiLvlLbl val="0"/>
      </c:catAx>
      <c:valAx>
        <c:axId val="1279337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338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layout>
        <c:manualLayout>
          <c:xMode val="edge"/>
          <c:yMode val="edge"/>
          <c:x val="0.26504855643044622"/>
          <c:y val="0.1008311461067366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Table'!$B$50:$B$51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Table'!$A$52:$A$55</c:f>
              <c:strCache>
                <c:ptCount val="3"/>
                <c:pt idx="0">
                  <c:v>Adolescent</c:v>
                </c:pt>
                <c:pt idx="1">
                  <c:v>Middle Age</c:v>
                </c:pt>
                <c:pt idx="2">
                  <c:v>Old</c:v>
                </c:pt>
              </c:strCache>
            </c:strRef>
          </c:cat>
          <c:val>
            <c:numRef>
              <c:f>'pivot Table'!$B$52:$B$55</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CE7A-4D57-BFE9-FC2C06D752FB}"/>
            </c:ext>
          </c:extLst>
        </c:ser>
        <c:ser>
          <c:idx val="1"/>
          <c:order val="1"/>
          <c:tx>
            <c:strRef>
              <c:f>'pivot Table'!$C$50:$C$51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Table'!$A$52:$A$55</c:f>
              <c:strCache>
                <c:ptCount val="3"/>
                <c:pt idx="0">
                  <c:v>Adolescent</c:v>
                </c:pt>
                <c:pt idx="1">
                  <c:v>Middle Age</c:v>
                </c:pt>
                <c:pt idx="2">
                  <c:v>Old</c:v>
                </c:pt>
              </c:strCache>
            </c:strRef>
          </c:cat>
          <c:val>
            <c:numRef>
              <c:f>'pivot Table'!$C$52:$C$55</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CE7A-4D57-BFE9-FC2C06D752FB}"/>
            </c:ext>
          </c:extLst>
        </c:ser>
        <c:dLbls>
          <c:showLegendKey val="0"/>
          <c:showVal val="0"/>
          <c:showCatName val="0"/>
          <c:showSerName val="0"/>
          <c:showPercent val="0"/>
          <c:showBubbleSize val="0"/>
        </c:dLbls>
        <c:marker val="1"/>
        <c:smooth val="0"/>
        <c:axId val="1279339200"/>
        <c:axId val="1279348320"/>
      </c:lineChart>
      <c:catAx>
        <c:axId val="12793392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layout>
            <c:manualLayout>
              <c:xMode val="edge"/>
              <c:yMode val="edge"/>
              <c:x val="0.36971412948381455"/>
              <c:y val="0.8334047827354915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348320"/>
        <c:crosses val="autoZero"/>
        <c:auto val="1"/>
        <c:lblAlgn val="ctr"/>
        <c:lblOffset val="100"/>
        <c:noMultiLvlLbl val="0"/>
      </c:catAx>
      <c:valAx>
        <c:axId val="1279348320"/>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339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Table'!$B$64:$B$65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Table'!$A$66:$A$119</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Table'!$B$66:$B$119</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605C-4F6F-9F36-E81AEF4DADDA}"/>
            </c:ext>
          </c:extLst>
        </c:ser>
        <c:ser>
          <c:idx val="1"/>
          <c:order val="1"/>
          <c:tx>
            <c:strRef>
              <c:f>'pivot Table'!$C$64:$C$65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Table'!$A$66:$A$119</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Table'!$C$66:$C$119</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605C-4F6F-9F36-E81AEF4DADDA}"/>
            </c:ext>
          </c:extLst>
        </c:ser>
        <c:dLbls>
          <c:showLegendKey val="0"/>
          <c:showVal val="0"/>
          <c:showCatName val="0"/>
          <c:showSerName val="0"/>
          <c:showPercent val="0"/>
          <c:showBubbleSize val="0"/>
        </c:dLbls>
        <c:marker val="1"/>
        <c:smooth val="0"/>
        <c:axId val="1279351680"/>
        <c:axId val="1279344480"/>
      </c:lineChart>
      <c:catAx>
        <c:axId val="1279351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344480"/>
        <c:crosses val="autoZero"/>
        <c:auto val="1"/>
        <c:lblAlgn val="ctr"/>
        <c:lblOffset val="100"/>
        <c:noMultiLvlLbl val="0"/>
      </c:catAx>
      <c:valAx>
        <c:axId val="1279344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351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Commute</a:t>
            </a:r>
          </a:p>
        </c:rich>
      </c:tx>
      <c:layout>
        <c:manualLayout>
          <c:xMode val="edge"/>
          <c:yMode val="edge"/>
          <c:x val="0.31227077865266839"/>
          <c:y val="0.11934966462525518"/>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Table'!$C$21:$C$22</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Table'!$B$23:$B$28</c:f>
              <c:strCache>
                <c:ptCount val="5"/>
                <c:pt idx="0">
                  <c:v>0-1 Miles</c:v>
                </c:pt>
                <c:pt idx="1">
                  <c:v>1-2 Miles</c:v>
                </c:pt>
                <c:pt idx="2">
                  <c:v>2-5 Miles</c:v>
                </c:pt>
                <c:pt idx="3">
                  <c:v>5-10 Miles</c:v>
                </c:pt>
                <c:pt idx="4">
                  <c:v>10 Miles +</c:v>
                </c:pt>
              </c:strCache>
            </c:strRef>
          </c:cat>
          <c:val>
            <c:numRef>
              <c:f>'pivot Table'!$C$23:$C$28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32D9-4E3F-8E7D-C6DEBA1E6CC6}"/>
            </c:ext>
          </c:extLst>
        </c:ser>
        <c:ser>
          <c:idx val="1"/>
          <c:order val="1"/>
          <c:tx>
            <c:strRef>
              <c:f>'pivot Table'!$D$21:$D$22</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Table'!$B$23:$B$28</c:f>
              <c:strCache>
                <c:ptCount val="5"/>
                <c:pt idx="0">
                  <c:v>0-1 Miles</c:v>
                </c:pt>
                <c:pt idx="1">
                  <c:v>1-2 Miles</c:v>
                </c:pt>
                <c:pt idx="2">
                  <c:v>2-5 Miles</c:v>
                </c:pt>
                <c:pt idx="3">
                  <c:v>5-10 Miles</c:v>
                </c:pt>
                <c:pt idx="4">
                  <c:v>10 Miles +</c:v>
                </c:pt>
              </c:strCache>
            </c:strRef>
          </c:cat>
          <c:val>
            <c:numRef>
              <c:f>'pivot Table'!$D$23:$D$28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32D9-4E3F-8E7D-C6DEBA1E6CC6}"/>
            </c:ext>
          </c:extLst>
        </c:ser>
        <c:dLbls>
          <c:showLegendKey val="0"/>
          <c:showVal val="0"/>
          <c:showCatName val="0"/>
          <c:showSerName val="0"/>
          <c:showPercent val="0"/>
          <c:showBubbleSize val="0"/>
        </c:dLbls>
        <c:marker val="1"/>
        <c:smooth val="0"/>
        <c:axId val="1279338240"/>
        <c:axId val="1279337760"/>
      </c:lineChart>
      <c:catAx>
        <c:axId val="127933824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Commute Distance</a:t>
                </a:r>
              </a:p>
            </c:rich>
          </c:tx>
          <c:layout>
            <c:manualLayout>
              <c:xMode val="edge"/>
              <c:yMode val="edge"/>
              <c:x val="0.35298490813648287"/>
              <c:y val="0.8009973753280840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79337760"/>
        <c:crosses val="autoZero"/>
        <c:auto val="1"/>
        <c:lblAlgn val="ctr"/>
        <c:lblOffset val="100"/>
        <c:noMultiLvlLbl val="0"/>
      </c:catAx>
      <c:valAx>
        <c:axId val="127933776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79338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layout>
        <c:manualLayout>
          <c:xMode val="edge"/>
          <c:yMode val="edge"/>
          <c:x val="0.26504855643044622"/>
          <c:y val="0.1008311461067366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Table'!$B$50:$B$51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Table'!$A$52:$A$55</c:f>
              <c:strCache>
                <c:ptCount val="3"/>
                <c:pt idx="0">
                  <c:v>Adolescent</c:v>
                </c:pt>
                <c:pt idx="1">
                  <c:v>Middle Age</c:v>
                </c:pt>
                <c:pt idx="2">
                  <c:v>Old</c:v>
                </c:pt>
              </c:strCache>
            </c:strRef>
          </c:cat>
          <c:val>
            <c:numRef>
              <c:f>'pivot Table'!$B$52:$B$55</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2EF5-4B27-906A-9FA775F06114}"/>
            </c:ext>
          </c:extLst>
        </c:ser>
        <c:ser>
          <c:idx val="1"/>
          <c:order val="1"/>
          <c:tx>
            <c:strRef>
              <c:f>'pivot Table'!$C$50:$C$51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Table'!$A$52:$A$55</c:f>
              <c:strCache>
                <c:ptCount val="3"/>
                <c:pt idx="0">
                  <c:v>Adolescent</c:v>
                </c:pt>
                <c:pt idx="1">
                  <c:v>Middle Age</c:v>
                </c:pt>
                <c:pt idx="2">
                  <c:v>Old</c:v>
                </c:pt>
              </c:strCache>
            </c:strRef>
          </c:cat>
          <c:val>
            <c:numRef>
              <c:f>'pivot Table'!$C$52:$C$55</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2EF5-4B27-906A-9FA775F06114}"/>
            </c:ext>
          </c:extLst>
        </c:ser>
        <c:dLbls>
          <c:showLegendKey val="0"/>
          <c:showVal val="0"/>
          <c:showCatName val="0"/>
          <c:showSerName val="0"/>
          <c:showPercent val="0"/>
          <c:showBubbleSize val="0"/>
        </c:dLbls>
        <c:marker val="1"/>
        <c:smooth val="0"/>
        <c:axId val="1279339200"/>
        <c:axId val="1279348320"/>
      </c:lineChart>
      <c:catAx>
        <c:axId val="12793392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layout>
            <c:manualLayout>
              <c:xMode val="edge"/>
              <c:yMode val="edge"/>
              <c:x val="0.36971412948381455"/>
              <c:y val="0.8334047827354915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348320"/>
        <c:crosses val="autoZero"/>
        <c:auto val="1"/>
        <c:lblAlgn val="ctr"/>
        <c:lblOffset val="100"/>
        <c:noMultiLvlLbl val="0"/>
      </c:catAx>
      <c:valAx>
        <c:axId val="1279348320"/>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339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layout>
        <c:manualLayout>
          <c:xMode val="edge"/>
          <c:yMode val="edge"/>
          <c:x val="0.2572845581802275"/>
          <c:y val="0.114720034995625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Table'!$B$2:$B$3</c:f>
              <c:strCache>
                <c:ptCount val="1"/>
                <c:pt idx="0">
                  <c:v>No</c:v>
                </c:pt>
              </c:strCache>
            </c:strRef>
          </c:tx>
          <c:spPr>
            <a:solidFill>
              <a:schemeClr val="accent1"/>
            </a:solidFill>
            <a:ln>
              <a:noFill/>
            </a:ln>
            <a:effectLst/>
          </c:spPr>
          <c:invertIfNegative val="0"/>
          <c:cat>
            <c:strRef>
              <c:f>'pivot Table'!$A$4:$A$6</c:f>
              <c:strCache>
                <c:ptCount val="2"/>
                <c:pt idx="0">
                  <c:v>Female</c:v>
                </c:pt>
                <c:pt idx="1">
                  <c:v>Male</c:v>
                </c:pt>
              </c:strCache>
            </c:strRef>
          </c:cat>
          <c:val>
            <c:numRef>
              <c:f>'pivot Table'!$B$4:$B$6</c:f>
              <c:numCache>
                <c:formatCode>"$"#,##0</c:formatCode>
                <c:ptCount val="2"/>
                <c:pt idx="0">
                  <c:v>53440</c:v>
                </c:pt>
                <c:pt idx="1">
                  <c:v>56208.178438661707</c:v>
                </c:pt>
              </c:numCache>
            </c:numRef>
          </c:val>
          <c:extLst>
            <c:ext xmlns:c16="http://schemas.microsoft.com/office/drawing/2014/chart" uri="{C3380CC4-5D6E-409C-BE32-E72D297353CC}">
              <c16:uniqueId val="{00000000-7727-4109-A2E0-636F45A76593}"/>
            </c:ext>
          </c:extLst>
        </c:ser>
        <c:ser>
          <c:idx val="1"/>
          <c:order val="1"/>
          <c:tx>
            <c:strRef>
              <c:f>'pivot Table'!$C$2:$C$3</c:f>
              <c:strCache>
                <c:ptCount val="1"/>
                <c:pt idx="0">
                  <c:v>Yes</c:v>
                </c:pt>
              </c:strCache>
            </c:strRef>
          </c:tx>
          <c:spPr>
            <a:solidFill>
              <a:schemeClr val="accent2"/>
            </a:solidFill>
            <a:ln>
              <a:noFill/>
            </a:ln>
            <a:effectLst/>
          </c:spPr>
          <c:invertIfNegative val="0"/>
          <c:cat>
            <c:strRef>
              <c:f>'pivot Table'!$A$4:$A$6</c:f>
              <c:strCache>
                <c:ptCount val="2"/>
                <c:pt idx="0">
                  <c:v>Female</c:v>
                </c:pt>
                <c:pt idx="1">
                  <c:v>Male</c:v>
                </c:pt>
              </c:strCache>
            </c:strRef>
          </c:cat>
          <c:val>
            <c:numRef>
              <c:f>'pivot Table'!$C$4:$C$6</c:f>
              <c:numCache>
                <c:formatCode>"$"#,##0</c:formatCode>
                <c:ptCount val="2"/>
                <c:pt idx="0">
                  <c:v>55774.058577405856</c:v>
                </c:pt>
                <c:pt idx="1">
                  <c:v>60123.966942148763</c:v>
                </c:pt>
              </c:numCache>
            </c:numRef>
          </c:val>
          <c:extLst>
            <c:ext xmlns:c16="http://schemas.microsoft.com/office/drawing/2014/chart" uri="{C3380CC4-5D6E-409C-BE32-E72D297353CC}">
              <c16:uniqueId val="{00000001-7727-4109-A2E0-636F45A76593}"/>
            </c:ext>
          </c:extLst>
        </c:ser>
        <c:dLbls>
          <c:showLegendKey val="0"/>
          <c:showVal val="0"/>
          <c:showCatName val="0"/>
          <c:showSerName val="0"/>
          <c:showPercent val="0"/>
          <c:showBubbleSize val="0"/>
        </c:dLbls>
        <c:gapWidth val="219"/>
        <c:overlap val="-27"/>
        <c:axId val="1276917696"/>
        <c:axId val="451385648"/>
      </c:barChart>
      <c:catAx>
        <c:axId val="12769176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1385648"/>
        <c:crosses val="autoZero"/>
        <c:auto val="1"/>
        <c:lblAlgn val="ctr"/>
        <c:lblOffset val="100"/>
        <c:noMultiLvlLbl val="0"/>
      </c:catAx>
      <c:valAx>
        <c:axId val="4513856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layout>
            <c:manualLayout>
              <c:xMode val="edge"/>
              <c:yMode val="edge"/>
              <c:x val="2.2222222222222223E-2"/>
              <c:y val="0.3434066054243219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691769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6</xdr:col>
      <xdr:colOff>182880</xdr:colOff>
      <xdr:row>0</xdr:row>
      <xdr:rowOff>163830</xdr:rowOff>
    </xdr:from>
    <xdr:to>
      <xdr:col>13</xdr:col>
      <xdr:colOff>487680</xdr:colOff>
      <xdr:row>15</xdr:row>
      <xdr:rowOff>163830</xdr:rowOff>
    </xdr:to>
    <xdr:graphicFrame macro="">
      <xdr:nvGraphicFramePr>
        <xdr:cNvPr id="2" name="Chart 1">
          <a:extLst>
            <a:ext uri="{FF2B5EF4-FFF2-40B4-BE49-F238E27FC236}">
              <a16:creationId xmlns:a16="http://schemas.microsoft.com/office/drawing/2014/main" id="{4AF65968-89C0-3A72-E606-D1828FED5C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53340</xdr:colOff>
      <xdr:row>24</xdr:row>
      <xdr:rowOff>72390</xdr:rowOff>
    </xdr:from>
    <xdr:to>
      <xdr:col>12</xdr:col>
      <xdr:colOff>358140</xdr:colOff>
      <xdr:row>39</xdr:row>
      <xdr:rowOff>72390</xdr:rowOff>
    </xdr:to>
    <xdr:graphicFrame macro="">
      <xdr:nvGraphicFramePr>
        <xdr:cNvPr id="3" name="Chart 2">
          <a:extLst>
            <a:ext uri="{FF2B5EF4-FFF2-40B4-BE49-F238E27FC236}">
              <a16:creationId xmlns:a16="http://schemas.microsoft.com/office/drawing/2014/main" id="{D830795E-FC1A-11AE-6FDD-FA6216FF0B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297180</xdr:colOff>
      <xdr:row>51</xdr:row>
      <xdr:rowOff>163830</xdr:rowOff>
    </xdr:from>
    <xdr:to>
      <xdr:col>11</xdr:col>
      <xdr:colOff>472440</xdr:colOff>
      <xdr:row>66</xdr:row>
      <xdr:rowOff>163830</xdr:rowOff>
    </xdr:to>
    <xdr:graphicFrame macro="">
      <xdr:nvGraphicFramePr>
        <xdr:cNvPr id="4" name="Chart 3">
          <a:extLst>
            <a:ext uri="{FF2B5EF4-FFF2-40B4-BE49-F238E27FC236}">
              <a16:creationId xmlns:a16="http://schemas.microsoft.com/office/drawing/2014/main" id="{23998596-7850-8ACF-AB62-34B00C56FA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434340</xdr:colOff>
      <xdr:row>69</xdr:row>
      <xdr:rowOff>41910</xdr:rowOff>
    </xdr:from>
    <xdr:to>
      <xdr:col>12</xdr:col>
      <xdr:colOff>0</xdr:colOff>
      <xdr:row>84</xdr:row>
      <xdr:rowOff>41910</xdr:rowOff>
    </xdr:to>
    <xdr:graphicFrame macro="">
      <xdr:nvGraphicFramePr>
        <xdr:cNvPr id="5" name="Chart 4">
          <a:extLst>
            <a:ext uri="{FF2B5EF4-FFF2-40B4-BE49-F238E27FC236}">
              <a16:creationId xmlns:a16="http://schemas.microsoft.com/office/drawing/2014/main" id="{1F431ECB-A500-136F-F370-9FA8BCB902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41062</xdr:colOff>
      <xdr:row>19</xdr:row>
      <xdr:rowOff>134196</xdr:rowOff>
    </xdr:from>
    <xdr:to>
      <xdr:col>19</xdr:col>
      <xdr:colOff>38099</xdr:colOff>
      <xdr:row>33</xdr:row>
      <xdr:rowOff>100542</xdr:rowOff>
    </xdr:to>
    <xdr:graphicFrame macro="">
      <xdr:nvGraphicFramePr>
        <xdr:cNvPr id="3" name="Chart 2">
          <a:extLst>
            <a:ext uri="{FF2B5EF4-FFF2-40B4-BE49-F238E27FC236}">
              <a16:creationId xmlns:a16="http://schemas.microsoft.com/office/drawing/2014/main" id="{2562970A-F3CC-4C67-B303-7C6B59FCBE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530221</xdr:colOff>
      <xdr:row>6</xdr:row>
      <xdr:rowOff>19050</xdr:rowOff>
    </xdr:from>
    <xdr:to>
      <xdr:col>19</xdr:col>
      <xdr:colOff>19050</xdr:colOff>
      <xdr:row>19</xdr:row>
      <xdr:rowOff>152400</xdr:rowOff>
    </xdr:to>
    <xdr:graphicFrame macro="">
      <xdr:nvGraphicFramePr>
        <xdr:cNvPr id="4" name="Chart 3">
          <a:extLst>
            <a:ext uri="{FF2B5EF4-FFF2-40B4-BE49-F238E27FC236}">
              <a16:creationId xmlns:a16="http://schemas.microsoft.com/office/drawing/2014/main" id="{9315F645-7190-40D1-A1B5-F1D26C4ED1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28576</xdr:colOff>
      <xdr:row>5</xdr:row>
      <xdr:rowOff>171450</xdr:rowOff>
    </xdr:from>
    <xdr:to>
      <xdr:col>11</xdr:col>
      <xdr:colOff>528108</xdr:colOff>
      <xdr:row>19</xdr:row>
      <xdr:rowOff>161924</xdr:rowOff>
    </xdr:to>
    <xdr:graphicFrame macro="">
      <xdr:nvGraphicFramePr>
        <xdr:cNvPr id="5" name="Chart 4">
          <a:extLst>
            <a:ext uri="{FF2B5EF4-FFF2-40B4-BE49-F238E27FC236}">
              <a16:creationId xmlns:a16="http://schemas.microsoft.com/office/drawing/2014/main" id="{96BABF1F-691B-45AC-90D1-E48F0E2073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9525</xdr:colOff>
      <xdr:row>6</xdr:row>
      <xdr:rowOff>20956</xdr:rowOff>
    </xdr:from>
    <xdr:to>
      <xdr:col>5</xdr:col>
      <xdr:colOff>0</xdr:colOff>
      <xdr:row>11</xdr:row>
      <xdr:rowOff>0</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1BDAF24A-6053-208B-E5B9-F16B70AE5BDC}"/>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9525" y="1106806"/>
              <a:ext cx="3038475" cy="8839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9526</xdr:colOff>
      <xdr:row>17</xdr:row>
      <xdr:rowOff>177165</xdr:rowOff>
    </xdr:from>
    <xdr:to>
      <xdr:col>5</xdr:col>
      <xdr:colOff>0</xdr:colOff>
      <xdr:row>31</xdr:row>
      <xdr:rowOff>110490</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DF71D298-DCDE-9DCD-C5C3-C913F14ABEBE}"/>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9526" y="3253740"/>
              <a:ext cx="3038474"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161925</xdr:rowOff>
    </xdr:from>
    <xdr:to>
      <xdr:col>5</xdr:col>
      <xdr:colOff>28574</xdr:colOff>
      <xdr:row>17</xdr:row>
      <xdr:rowOff>133349</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B704ADDF-E05E-63BA-E63C-E4E9F2B9097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1971675"/>
              <a:ext cx="3076574" cy="12382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eD AmERr" refreshedDate="45975.936040162036" createdVersion="8" refreshedVersion="8" minRefreshableVersion="3" recordCount="1000" xr:uid="{75CA1639-DFAB-422F-8CC8-024F87FA2EBD}">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7">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6">
        <s v="Middle Age"/>
        <s v="Old"/>
        <s v="Adolescent"/>
        <s v="Middle Age 31-54" u="1"/>
        <s v="Old 55+" u="1"/>
        <s v="Adolescent 0-30" u="1"/>
      </sharedItems>
    </cacheField>
    <cacheField name="Purchased Bike" numFmtId="0">
      <sharedItems count="2">
        <s v="No"/>
        <s v="Yes"/>
      </sharedItems>
    </cacheField>
  </cacheFields>
  <extLst>
    <ext xmlns:x14="http://schemas.microsoft.com/office/spreadsheetml/2009/9/main" uri="{725AE2AE-9491-48be-B2B4-4EB974FC3084}">
      <x14:pivotCacheDefinition pivotCacheId="13138777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DFBF95-3492-4757-B582-076DF44714DE}" name="PivotTable4"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64:D119" firstHeaderRow="1" firstDataRow="2" firstDataCol="1"/>
  <pivotFields count="14">
    <pivotField showAll="0"/>
    <pivotField showAll="0">
      <items count="3">
        <item x="0"/>
        <item x="1"/>
        <item t="default"/>
      </items>
    </pivotField>
    <pivotField showAll="0"/>
    <pivotField numFmtId="167"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5D8B798-E81B-415D-8962-AD6EFA441CA6}" name="PivotTable3"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50:D55" firstHeaderRow="1" firstDataRow="2" firstDataCol="1"/>
  <pivotFields count="14">
    <pivotField showAll="0"/>
    <pivotField showAll="0">
      <items count="3">
        <item x="0"/>
        <item x="1"/>
        <item t="default"/>
      </items>
    </pivotField>
    <pivotField showAll="0"/>
    <pivotField numFmtId="167"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7">
        <item x="2"/>
        <item x="0"/>
        <item x="1"/>
        <item m="1" x="3"/>
        <item m="1" x="4"/>
        <item m="1" x="5"/>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F1BBCE1-41C6-48FF-B523-1D2767B2BDFD}" name="PivotTable2"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21:E28" firstHeaderRow="1" firstDataRow="2" firstDataCol="1"/>
  <pivotFields count="14">
    <pivotField showAll="0"/>
    <pivotField showAll="0">
      <items count="3">
        <item x="0"/>
        <item x="1"/>
        <item t="default"/>
      </items>
    </pivotField>
    <pivotField showAll="0"/>
    <pivotField numFmtId="167"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8DD9D2F-4010-44B2-88EF-CA83C22AFF61}" name="PivotTable1"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D6"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7"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7"/>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2" series="1">
      <pivotArea type="data" outline="0" fieldPosition="0">
        <references count="2">
          <reference field="4294967294" count="1" selected="0">
            <x v="0"/>
          </reference>
          <reference field="13" count="1" selected="0">
            <x v="0"/>
          </reference>
        </references>
      </pivotArea>
    </chartFormat>
    <chartFormat chart="5" format="3"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4C18C39A-020E-4653-811B-750E6E893634}" sourceName="Marital Status">
  <pivotTables>
    <pivotTable tabId="3" name="PivotTable1"/>
    <pivotTable tabId="3" name="PivotTable2"/>
    <pivotTable tabId="3" name="PivotTable3"/>
    <pivotTable tabId="3" name="PivotTable4"/>
  </pivotTables>
  <data>
    <tabular pivotCacheId="131387771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3F4C6350-8205-4733-9BBF-0EF9A60D3247}" sourceName="Education">
  <pivotTables>
    <pivotTable tabId="3" name="PivotTable1"/>
    <pivotTable tabId="3" name="PivotTable2"/>
    <pivotTable tabId="3" name="PivotTable3"/>
    <pivotTable tabId="3" name="PivotTable4"/>
  </pivotTables>
  <data>
    <tabular pivotCacheId="1313877710">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F934DC3-FC4F-4F0B-9C29-0B51D125830C}" sourceName="Region">
  <pivotTables>
    <pivotTable tabId="3" name="PivotTable1"/>
    <pivotTable tabId="3" name="PivotTable2"/>
    <pivotTable tabId="3" name="PivotTable3"/>
    <pivotTable tabId="3" name="PivotTable4"/>
  </pivotTables>
  <data>
    <tabular pivotCacheId="1313877710">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F10F7B5A-2D59-4C28-A404-3B945E3C3E6B}" cache="Slicer_Marital_Status" caption="Marital Status" rowHeight="234950"/>
  <slicer name="Education" xr10:uid="{E4D7C7A1-8BB2-496A-9FEC-22E6F7F75100}" cache="Slicer_Education" caption="Education" rowHeight="234950"/>
  <slicer name="Region" xr10:uid="{F2B3602E-3F08-4D7F-9938-314D6810955B}" cache="Slicer_Region" caption="Reg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B1" sqref="B1"/>
    </sheetView>
  </sheetViews>
  <sheetFormatPr defaultColWidth="11.88671875" defaultRowHeight="14.4" x14ac:dyDescent="0.3"/>
  <cols>
    <col min="1" max="1" width="12.6640625" customWidth="1"/>
    <col min="2" max="2" width="13.5546875" customWidth="1"/>
    <col min="4" max="4" width="12.6640625" customWidth="1"/>
    <col min="6" max="6" width="21.109375" customWidth="1"/>
    <col min="7" max="7" width="15.109375" customWidth="1"/>
    <col min="10" max="10" width="17.44140625" customWidth="1"/>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6F98F-4DB7-42DA-BD67-ABA1B67D1552}">
  <dimension ref="A1:N1001"/>
  <sheetViews>
    <sheetView workbookViewId="0">
      <selection activeCell="M2" sqref="M2:M1001"/>
    </sheetView>
  </sheetViews>
  <sheetFormatPr defaultColWidth="14.6640625" defaultRowHeight="14.4" x14ac:dyDescent="0.3"/>
  <cols>
    <col min="2" max="2" width="15.21875" customWidth="1"/>
    <col min="3" max="3" width="10.21875" customWidth="1"/>
    <col min="4" max="4" width="12.5546875" style="3" customWidth="1"/>
    <col min="5" max="5" width="9.88671875" customWidth="1"/>
    <col min="6" max="6" width="18.44140625" customWidth="1"/>
    <col min="10" max="10" width="18.44140625" customWidth="1"/>
    <col min="14" max="14" width="16.109375"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39</v>
      </c>
      <c r="D2" s="3">
        <v>40000</v>
      </c>
      <c r="E2">
        <v>1</v>
      </c>
      <c r="F2" t="s">
        <v>13</v>
      </c>
      <c r="G2" t="s">
        <v>14</v>
      </c>
      <c r="H2" t="s">
        <v>15</v>
      </c>
      <c r="I2">
        <v>0</v>
      </c>
      <c r="J2" t="s">
        <v>16</v>
      </c>
      <c r="K2" t="s">
        <v>17</v>
      </c>
      <c r="L2">
        <v>42</v>
      </c>
      <c r="M2" t="str">
        <f>IF(L2&gt;54,"Old",IF(L2&gt;=31,"Middle Age",IF(L2&lt;31,"Adolescent","Invalid")))</f>
        <v>Middle Age</v>
      </c>
      <c r="N2" t="s">
        <v>18</v>
      </c>
    </row>
    <row r="3" spans="1:14" x14ac:dyDescent="0.3">
      <c r="A3">
        <v>24107</v>
      </c>
      <c r="B3" t="s">
        <v>36</v>
      </c>
      <c r="C3" t="s">
        <v>38</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
      <c r="A4">
        <v>14177</v>
      </c>
      <c r="B4" t="s">
        <v>36</v>
      </c>
      <c r="C4" t="s">
        <v>38</v>
      </c>
      <c r="D4" s="3">
        <v>80000</v>
      </c>
      <c r="E4">
        <v>5</v>
      </c>
      <c r="F4" t="s">
        <v>19</v>
      </c>
      <c r="G4" t="s">
        <v>21</v>
      </c>
      <c r="H4" t="s">
        <v>18</v>
      </c>
      <c r="I4">
        <v>2</v>
      </c>
      <c r="J4" t="s">
        <v>22</v>
      </c>
      <c r="K4" t="s">
        <v>17</v>
      </c>
      <c r="L4">
        <v>60</v>
      </c>
      <c r="M4" t="str">
        <f t="shared" si="0"/>
        <v>Old</v>
      </c>
      <c r="N4" t="s">
        <v>18</v>
      </c>
    </row>
    <row r="5" spans="1:14" x14ac:dyDescent="0.3">
      <c r="A5">
        <v>24381</v>
      </c>
      <c r="B5" t="s">
        <v>37</v>
      </c>
      <c r="C5" t="s">
        <v>38</v>
      </c>
      <c r="D5" s="3">
        <v>70000</v>
      </c>
      <c r="E5">
        <v>0</v>
      </c>
      <c r="F5" t="s">
        <v>13</v>
      </c>
      <c r="G5" t="s">
        <v>21</v>
      </c>
      <c r="H5" t="s">
        <v>15</v>
      </c>
      <c r="I5">
        <v>1</v>
      </c>
      <c r="J5" t="s">
        <v>23</v>
      </c>
      <c r="K5" t="s">
        <v>24</v>
      </c>
      <c r="L5">
        <v>41</v>
      </c>
      <c r="M5" t="str">
        <f t="shared" si="0"/>
        <v>Middle Age</v>
      </c>
      <c r="N5" t="s">
        <v>15</v>
      </c>
    </row>
    <row r="6" spans="1:14" x14ac:dyDescent="0.3">
      <c r="A6">
        <v>25597</v>
      </c>
      <c r="B6" t="s">
        <v>37</v>
      </c>
      <c r="C6" t="s">
        <v>38</v>
      </c>
      <c r="D6" s="3">
        <v>30000</v>
      </c>
      <c r="E6">
        <v>0</v>
      </c>
      <c r="F6" t="s">
        <v>13</v>
      </c>
      <c r="G6" t="s">
        <v>20</v>
      </c>
      <c r="H6" t="s">
        <v>18</v>
      </c>
      <c r="I6">
        <v>0</v>
      </c>
      <c r="J6" t="s">
        <v>16</v>
      </c>
      <c r="K6" t="s">
        <v>17</v>
      </c>
      <c r="L6">
        <v>36</v>
      </c>
      <c r="M6" t="str">
        <f t="shared" si="0"/>
        <v>Middle Age</v>
      </c>
      <c r="N6" t="s">
        <v>15</v>
      </c>
    </row>
    <row r="7" spans="1:14" x14ac:dyDescent="0.3">
      <c r="A7">
        <v>13507</v>
      </c>
      <c r="B7" t="s">
        <v>36</v>
      </c>
      <c r="C7" t="s">
        <v>39</v>
      </c>
      <c r="D7" s="3">
        <v>10000</v>
      </c>
      <c r="E7">
        <v>2</v>
      </c>
      <c r="F7" t="s">
        <v>19</v>
      </c>
      <c r="G7" t="s">
        <v>25</v>
      </c>
      <c r="H7" t="s">
        <v>15</v>
      </c>
      <c r="I7">
        <v>0</v>
      </c>
      <c r="J7" t="s">
        <v>26</v>
      </c>
      <c r="K7" t="s">
        <v>17</v>
      </c>
      <c r="L7">
        <v>50</v>
      </c>
      <c r="M7" t="str">
        <f t="shared" si="0"/>
        <v>Middle Age</v>
      </c>
      <c r="N7" t="s">
        <v>18</v>
      </c>
    </row>
    <row r="8" spans="1:14" x14ac:dyDescent="0.3">
      <c r="A8">
        <v>27974</v>
      </c>
      <c r="B8" t="s">
        <v>37</v>
      </c>
      <c r="C8" t="s">
        <v>38</v>
      </c>
      <c r="D8" s="3">
        <v>160000</v>
      </c>
      <c r="E8">
        <v>2</v>
      </c>
      <c r="F8" t="s">
        <v>27</v>
      </c>
      <c r="G8" t="s">
        <v>28</v>
      </c>
      <c r="H8" t="s">
        <v>15</v>
      </c>
      <c r="I8">
        <v>4</v>
      </c>
      <c r="J8" t="s">
        <v>16</v>
      </c>
      <c r="K8" t="s">
        <v>24</v>
      </c>
      <c r="L8">
        <v>33</v>
      </c>
      <c r="M8" t="str">
        <f t="shared" si="0"/>
        <v>Middle Age</v>
      </c>
      <c r="N8" t="s">
        <v>15</v>
      </c>
    </row>
    <row r="9" spans="1:14" x14ac:dyDescent="0.3">
      <c r="A9">
        <v>19364</v>
      </c>
      <c r="B9" t="s">
        <v>36</v>
      </c>
      <c r="C9" t="s">
        <v>38</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3">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3">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3">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3">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3">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38</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3">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3">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3">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3">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38</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39</v>
      </c>
      <c r="D195" s="3">
        <v>70000</v>
      </c>
      <c r="E195">
        <v>5</v>
      </c>
      <c r="F195" t="s">
        <v>13</v>
      </c>
      <c r="G195" t="s">
        <v>21</v>
      </c>
      <c r="H195" t="s">
        <v>15</v>
      </c>
      <c r="I195">
        <v>4</v>
      </c>
      <c r="J195" t="s">
        <v>46</v>
      </c>
      <c r="K195" t="s">
        <v>24</v>
      </c>
      <c r="L195">
        <v>41</v>
      </c>
      <c r="M195" t="str">
        <f t="shared" ref="M195:M258" si="3">IF(L195&gt;54,"Old",IF(L195&gt;=31,"Middle Age",IF(L195&lt;31,"Adolescent","Invalid")))</f>
        <v>Middle Age</v>
      </c>
      <c r="N195" t="s">
        <v>18</v>
      </c>
    </row>
    <row r="196" spans="1:14" x14ac:dyDescent="0.3">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39</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3">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39</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3">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38</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39</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39</v>
      </c>
      <c r="D515" s="3">
        <v>60000</v>
      </c>
      <c r="E515">
        <v>4</v>
      </c>
      <c r="F515" t="s">
        <v>31</v>
      </c>
      <c r="G515" t="s">
        <v>28</v>
      </c>
      <c r="H515" t="s">
        <v>15</v>
      </c>
      <c r="I515">
        <v>2</v>
      </c>
      <c r="J515" t="s">
        <v>46</v>
      </c>
      <c r="K515" t="s">
        <v>32</v>
      </c>
      <c r="L515">
        <v>61</v>
      </c>
      <c r="M515" t="str">
        <f t="shared" ref="M515:M578" si="8">IF(L515&gt;54,"Old",IF(L515&gt;=31,"Middle Age",IF(L515&lt;31,"Adolescent","Invalid")))</f>
        <v>Old</v>
      </c>
      <c r="N515" t="s">
        <v>15</v>
      </c>
    </row>
    <row r="516" spans="1:14" x14ac:dyDescent="0.3">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3">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38</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3">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38</v>
      </c>
      <c r="D643" s="3">
        <v>50000</v>
      </c>
      <c r="E643">
        <v>4</v>
      </c>
      <c r="F643" t="s">
        <v>13</v>
      </c>
      <c r="G643" t="s">
        <v>28</v>
      </c>
      <c r="H643" t="s">
        <v>15</v>
      </c>
      <c r="I643">
        <v>2</v>
      </c>
      <c r="J643" t="s">
        <v>46</v>
      </c>
      <c r="K643" t="s">
        <v>32</v>
      </c>
      <c r="L643">
        <v>64</v>
      </c>
      <c r="M643" t="str">
        <f t="shared" ref="M643:M706" si="10">IF(L643&gt;54,"Old",IF(L643&gt;=31,"Middle Age",IF(L643&lt;31,"Adolescent","Invalid")))</f>
        <v>Old</v>
      </c>
      <c r="N643" t="s">
        <v>18</v>
      </c>
    </row>
    <row r="644" spans="1:14" x14ac:dyDescent="0.3">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39</v>
      </c>
      <c r="D707" s="3">
        <v>70000</v>
      </c>
      <c r="E707">
        <v>4</v>
      </c>
      <c r="F707" t="s">
        <v>13</v>
      </c>
      <c r="G707" t="s">
        <v>28</v>
      </c>
      <c r="H707" t="s">
        <v>15</v>
      </c>
      <c r="I707">
        <v>1</v>
      </c>
      <c r="J707" t="s">
        <v>46</v>
      </c>
      <c r="K707" t="s">
        <v>32</v>
      </c>
      <c r="L707">
        <v>59</v>
      </c>
      <c r="M707" t="str">
        <f t="shared" ref="M707:M770" si="11">IF(L707&gt;54,"Old",IF(L707&gt;=31,"Middle Age",IF(L707&lt;31,"Adolescent","Invalid")))</f>
        <v>Old</v>
      </c>
      <c r="N707" t="s">
        <v>18</v>
      </c>
    </row>
    <row r="708" spans="1:14" x14ac:dyDescent="0.3">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39</v>
      </c>
      <c r="D741" s="3">
        <v>60000</v>
      </c>
      <c r="E741">
        <v>2</v>
      </c>
      <c r="F741" t="s">
        <v>19</v>
      </c>
      <c r="G741" t="s">
        <v>21</v>
      </c>
      <c r="H741" t="s">
        <v>15</v>
      </c>
      <c r="I741">
        <v>1</v>
      </c>
      <c r="J741" t="s">
        <v>46</v>
      </c>
      <c r="K741" t="s">
        <v>32</v>
      </c>
      <c r="L741">
        <v>55</v>
      </c>
      <c r="M741" t="str">
        <f t="shared" si="11"/>
        <v>Old</v>
      </c>
      <c r="N741" t="s">
        <v>18</v>
      </c>
    </row>
    <row r="742" spans="1:14" x14ac:dyDescent="0.3">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39</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38</v>
      </c>
      <c r="D777" s="3">
        <v>70000</v>
      </c>
      <c r="E777">
        <v>2</v>
      </c>
      <c r="F777" t="s">
        <v>29</v>
      </c>
      <c r="G777" t="s">
        <v>14</v>
      </c>
      <c r="H777" t="s">
        <v>15</v>
      </c>
      <c r="I777">
        <v>2</v>
      </c>
      <c r="J777" t="s">
        <v>46</v>
      </c>
      <c r="K777" t="s">
        <v>32</v>
      </c>
      <c r="L777">
        <v>54</v>
      </c>
      <c r="M777" t="str">
        <f t="shared" si="12"/>
        <v>Middle Age</v>
      </c>
      <c r="N777" t="s">
        <v>18</v>
      </c>
    </row>
    <row r="778" spans="1:14" x14ac:dyDescent="0.3">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39</v>
      </c>
      <c r="D782" s="3">
        <v>60000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39</v>
      </c>
      <c r="D815" s="3">
        <v>70000</v>
      </c>
      <c r="E815">
        <v>2</v>
      </c>
      <c r="F815" t="s">
        <v>27</v>
      </c>
      <c r="G815" t="s">
        <v>21</v>
      </c>
      <c r="H815" t="s">
        <v>15</v>
      </c>
      <c r="I815">
        <v>2</v>
      </c>
      <c r="J815" t="s">
        <v>46</v>
      </c>
      <c r="K815" t="s">
        <v>32</v>
      </c>
      <c r="L815">
        <v>53</v>
      </c>
      <c r="M815" t="str">
        <f t="shared" si="12"/>
        <v>Middle Age</v>
      </c>
      <c r="N815" t="s">
        <v>18</v>
      </c>
    </row>
    <row r="816" spans="1:14" x14ac:dyDescent="0.3">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39</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38</v>
      </c>
      <c r="D842" s="3">
        <v>70000</v>
      </c>
      <c r="E842">
        <v>4</v>
      </c>
      <c r="F842" t="s">
        <v>19</v>
      </c>
      <c r="G842" t="s">
        <v>21</v>
      </c>
      <c r="H842" t="s">
        <v>15</v>
      </c>
      <c r="I842">
        <v>2</v>
      </c>
      <c r="J842" t="s">
        <v>46</v>
      </c>
      <c r="K842" t="s">
        <v>32</v>
      </c>
      <c r="L842">
        <v>53</v>
      </c>
      <c r="M842" t="str">
        <f t="shared" si="13"/>
        <v>Middle Age</v>
      </c>
      <c r="N842" t="s">
        <v>18</v>
      </c>
    </row>
    <row r="843" spans="1:14" x14ac:dyDescent="0.3">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38</v>
      </c>
      <c r="D868" s="3">
        <v>60000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38</v>
      </c>
      <c r="D873" s="3">
        <v>60000</v>
      </c>
      <c r="E873">
        <v>2</v>
      </c>
      <c r="F873" t="s">
        <v>27</v>
      </c>
      <c r="G873" t="s">
        <v>21</v>
      </c>
      <c r="H873" t="s">
        <v>15</v>
      </c>
      <c r="I873">
        <v>2</v>
      </c>
      <c r="J873" t="s">
        <v>46</v>
      </c>
      <c r="K873" t="s">
        <v>32</v>
      </c>
      <c r="L873">
        <v>55</v>
      </c>
      <c r="M873" t="str">
        <f t="shared" si="13"/>
        <v>Old</v>
      </c>
      <c r="N873" t="s">
        <v>18</v>
      </c>
    </row>
    <row r="874" spans="1:14" x14ac:dyDescent="0.3">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38</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38</v>
      </c>
      <c r="D951" s="3">
        <v>70000</v>
      </c>
      <c r="E951">
        <v>2</v>
      </c>
      <c r="F951" t="s">
        <v>29</v>
      </c>
      <c r="G951" t="s">
        <v>14</v>
      </c>
      <c r="H951" t="s">
        <v>15</v>
      </c>
      <c r="I951">
        <v>2</v>
      </c>
      <c r="J951" t="s">
        <v>46</v>
      </c>
      <c r="K951" t="s">
        <v>32</v>
      </c>
      <c r="L951">
        <v>53</v>
      </c>
      <c r="M951" t="str">
        <f t="shared" si="14"/>
        <v>Middle Age</v>
      </c>
      <c r="N951" t="s">
        <v>18</v>
      </c>
    </row>
    <row r="952" spans="1:14" x14ac:dyDescent="0.3">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39</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3">
      <c r="A964">
        <v>16813</v>
      </c>
      <c r="B964" t="s">
        <v>36</v>
      </c>
      <c r="C964" t="s">
        <v>38</v>
      </c>
      <c r="D964" s="3">
        <v>60000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38</v>
      </c>
      <c r="D1001" s="3">
        <v>60000</v>
      </c>
      <c r="E1001">
        <v>3</v>
      </c>
      <c r="F1001" t="s">
        <v>27</v>
      </c>
      <c r="G1001" t="s">
        <v>21</v>
      </c>
      <c r="H1001" t="s">
        <v>15</v>
      </c>
      <c r="I1001">
        <v>2</v>
      </c>
      <c r="J1001" t="s">
        <v>46</v>
      </c>
      <c r="K1001" t="s">
        <v>32</v>
      </c>
      <c r="L1001">
        <v>53</v>
      </c>
      <c r="M1001" t="str">
        <f t="shared" si="15"/>
        <v>Middle Age</v>
      </c>
      <c r="N1001" t="s">
        <v>15</v>
      </c>
    </row>
  </sheetData>
  <autoFilter ref="A1:N1001" xr:uid="{21C6F98F-4DB7-42DA-BD67-ABA1B67D155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823F1-D79A-43B7-87F6-8BBE5DC39804}">
  <dimension ref="A2:E119"/>
  <sheetViews>
    <sheetView workbookViewId="0">
      <selection activeCell="A64" sqref="A64"/>
    </sheetView>
  </sheetViews>
  <sheetFormatPr defaultRowHeight="14.4" x14ac:dyDescent="0.3"/>
  <cols>
    <col min="1" max="1" width="21.88671875" bestFit="1" customWidth="1"/>
    <col min="2" max="2" width="15.5546875" bestFit="1" customWidth="1"/>
    <col min="3" max="3" width="4" bestFit="1" customWidth="1"/>
    <col min="4" max="5" width="10.77734375" bestFit="1" customWidth="1"/>
  </cols>
  <sheetData>
    <row r="2" spans="1:4" x14ac:dyDescent="0.3">
      <c r="A2" s="4" t="s">
        <v>43</v>
      </c>
      <c r="B2" s="4" t="s">
        <v>44</v>
      </c>
    </row>
    <row r="3" spans="1:4" x14ac:dyDescent="0.3">
      <c r="A3" s="4" t="s">
        <v>41</v>
      </c>
      <c r="B3" t="s">
        <v>18</v>
      </c>
      <c r="C3" t="s">
        <v>15</v>
      </c>
      <c r="D3" t="s">
        <v>42</v>
      </c>
    </row>
    <row r="4" spans="1:4" x14ac:dyDescent="0.3">
      <c r="A4" s="5" t="s">
        <v>39</v>
      </c>
      <c r="B4" s="3">
        <v>53440</v>
      </c>
      <c r="C4" s="3">
        <v>55774.058577405856</v>
      </c>
      <c r="D4" s="3">
        <v>54580.777096114522</v>
      </c>
    </row>
    <row r="5" spans="1:4" x14ac:dyDescent="0.3">
      <c r="A5" s="5" t="s">
        <v>38</v>
      </c>
      <c r="B5" s="3">
        <v>56208.178438661707</v>
      </c>
      <c r="C5" s="3">
        <v>60123.966942148763</v>
      </c>
      <c r="D5" s="3">
        <v>58062.62230919765</v>
      </c>
    </row>
    <row r="6" spans="1:4" x14ac:dyDescent="0.3">
      <c r="A6" s="5" t="s">
        <v>42</v>
      </c>
      <c r="B6" s="3">
        <v>54874.759152215796</v>
      </c>
      <c r="C6" s="3">
        <v>57962.577962577961</v>
      </c>
      <c r="D6" s="3">
        <v>56360</v>
      </c>
    </row>
    <row r="21" spans="2:5" x14ac:dyDescent="0.3">
      <c r="B21" s="4" t="s">
        <v>45</v>
      </c>
      <c r="C21" s="4" t="s">
        <v>44</v>
      </c>
    </row>
    <row r="22" spans="2:5" x14ac:dyDescent="0.3">
      <c r="B22" s="4" t="s">
        <v>41</v>
      </c>
      <c r="C22" t="s">
        <v>18</v>
      </c>
      <c r="D22" t="s">
        <v>15</v>
      </c>
      <c r="E22" t="s">
        <v>42</v>
      </c>
    </row>
    <row r="23" spans="2:5" x14ac:dyDescent="0.3">
      <c r="B23" s="5" t="s">
        <v>16</v>
      </c>
      <c r="C23" s="6">
        <v>166</v>
      </c>
      <c r="D23" s="6">
        <v>200</v>
      </c>
      <c r="E23" s="6">
        <v>366</v>
      </c>
    </row>
    <row r="24" spans="2:5" x14ac:dyDescent="0.3">
      <c r="B24" s="5" t="s">
        <v>26</v>
      </c>
      <c r="C24" s="6">
        <v>92</v>
      </c>
      <c r="D24" s="6">
        <v>77</v>
      </c>
      <c r="E24" s="6">
        <v>169</v>
      </c>
    </row>
    <row r="25" spans="2:5" x14ac:dyDescent="0.3">
      <c r="B25" s="5" t="s">
        <v>22</v>
      </c>
      <c r="C25" s="6">
        <v>67</v>
      </c>
      <c r="D25" s="6">
        <v>95</v>
      </c>
      <c r="E25" s="6">
        <v>162</v>
      </c>
    </row>
    <row r="26" spans="2:5" x14ac:dyDescent="0.3">
      <c r="B26" s="5" t="s">
        <v>23</v>
      </c>
      <c r="C26" s="6">
        <v>116</v>
      </c>
      <c r="D26" s="6">
        <v>76</v>
      </c>
      <c r="E26" s="6">
        <v>192</v>
      </c>
    </row>
    <row r="27" spans="2:5" x14ac:dyDescent="0.3">
      <c r="B27" s="5" t="s">
        <v>46</v>
      </c>
      <c r="C27" s="6">
        <v>78</v>
      </c>
      <c r="D27" s="6">
        <v>33</v>
      </c>
      <c r="E27" s="6">
        <v>111</v>
      </c>
    </row>
    <row r="28" spans="2:5" x14ac:dyDescent="0.3">
      <c r="B28" s="5" t="s">
        <v>42</v>
      </c>
      <c r="C28" s="6">
        <v>519</v>
      </c>
      <c r="D28" s="6">
        <v>481</v>
      </c>
      <c r="E28" s="6">
        <v>1000</v>
      </c>
    </row>
    <row r="50" spans="1:4" x14ac:dyDescent="0.3">
      <c r="A50" s="4" t="s">
        <v>45</v>
      </c>
      <c r="B50" s="4" t="s">
        <v>44</v>
      </c>
    </row>
    <row r="51" spans="1:4" x14ac:dyDescent="0.3">
      <c r="A51" s="4" t="s">
        <v>41</v>
      </c>
      <c r="B51" t="s">
        <v>18</v>
      </c>
      <c r="C51" t="s">
        <v>15</v>
      </c>
      <c r="D51" t="s">
        <v>42</v>
      </c>
    </row>
    <row r="52" spans="1:4" x14ac:dyDescent="0.3">
      <c r="A52" s="5" t="s">
        <v>47</v>
      </c>
      <c r="B52" s="6">
        <v>71</v>
      </c>
      <c r="C52" s="6">
        <v>39</v>
      </c>
      <c r="D52" s="6">
        <v>110</v>
      </c>
    </row>
    <row r="53" spans="1:4" x14ac:dyDescent="0.3">
      <c r="A53" s="5" t="s">
        <v>48</v>
      </c>
      <c r="B53" s="6">
        <v>318</v>
      </c>
      <c r="C53" s="6">
        <v>383</v>
      </c>
      <c r="D53" s="6">
        <v>701</v>
      </c>
    </row>
    <row r="54" spans="1:4" x14ac:dyDescent="0.3">
      <c r="A54" s="5" t="s">
        <v>49</v>
      </c>
      <c r="B54" s="6">
        <v>130</v>
      </c>
      <c r="C54" s="6">
        <v>59</v>
      </c>
      <c r="D54" s="6">
        <v>189</v>
      </c>
    </row>
    <row r="55" spans="1:4" x14ac:dyDescent="0.3">
      <c r="A55" s="5" t="s">
        <v>42</v>
      </c>
      <c r="B55" s="6">
        <v>519</v>
      </c>
      <c r="C55" s="6">
        <v>481</v>
      </c>
      <c r="D55" s="6">
        <v>1000</v>
      </c>
    </row>
    <row r="64" spans="1:4" x14ac:dyDescent="0.3">
      <c r="A64" s="4" t="s">
        <v>45</v>
      </c>
      <c r="B64" s="4" t="s">
        <v>44</v>
      </c>
    </row>
    <row r="65" spans="1:4" x14ac:dyDescent="0.3">
      <c r="A65" s="4" t="s">
        <v>41</v>
      </c>
      <c r="B65" t="s">
        <v>18</v>
      </c>
      <c r="C65" t="s">
        <v>15</v>
      </c>
      <c r="D65" t="s">
        <v>42</v>
      </c>
    </row>
    <row r="66" spans="1:4" x14ac:dyDescent="0.3">
      <c r="A66" s="5">
        <v>25</v>
      </c>
      <c r="B66" s="6">
        <v>2</v>
      </c>
      <c r="C66" s="6">
        <v>4</v>
      </c>
      <c r="D66" s="6">
        <v>6</v>
      </c>
    </row>
    <row r="67" spans="1:4" x14ac:dyDescent="0.3">
      <c r="A67" s="5">
        <v>26</v>
      </c>
      <c r="B67" s="6">
        <v>8</v>
      </c>
      <c r="C67" s="6">
        <v>8</v>
      </c>
      <c r="D67" s="6">
        <v>16</v>
      </c>
    </row>
    <row r="68" spans="1:4" x14ac:dyDescent="0.3">
      <c r="A68" s="5">
        <v>27</v>
      </c>
      <c r="B68" s="6">
        <v>15</v>
      </c>
      <c r="C68" s="6">
        <v>8</v>
      </c>
      <c r="D68" s="6">
        <v>23</v>
      </c>
    </row>
    <row r="69" spans="1:4" x14ac:dyDescent="0.3">
      <c r="A69" s="5">
        <v>28</v>
      </c>
      <c r="B69" s="6">
        <v>12</v>
      </c>
      <c r="C69" s="6">
        <v>10</v>
      </c>
      <c r="D69" s="6">
        <v>22</v>
      </c>
    </row>
    <row r="70" spans="1:4" x14ac:dyDescent="0.3">
      <c r="A70" s="5">
        <v>29</v>
      </c>
      <c r="B70" s="6">
        <v>11</v>
      </c>
      <c r="C70" s="6">
        <v>5</v>
      </c>
      <c r="D70" s="6">
        <v>16</v>
      </c>
    </row>
    <row r="71" spans="1:4" x14ac:dyDescent="0.3">
      <c r="A71" s="5">
        <v>30</v>
      </c>
      <c r="B71" s="6">
        <v>23</v>
      </c>
      <c r="C71" s="6">
        <v>4</v>
      </c>
      <c r="D71" s="6">
        <v>27</v>
      </c>
    </row>
    <row r="72" spans="1:4" x14ac:dyDescent="0.3">
      <c r="A72" s="5">
        <v>31</v>
      </c>
      <c r="B72" s="6">
        <v>17</v>
      </c>
      <c r="C72" s="6">
        <v>8</v>
      </c>
      <c r="D72" s="6">
        <v>25</v>
      </c>
    </row>
    <row r="73" spans="1:4" x14ac:dyDescent="0.3">
      <c r="A73" s="5">
        <v>32</v>
      </c>
      <c r="B73" s="6">
        <v>19</v>
      </c>
      <c r="C73" s="6">
        <v>14</v>
      </c>
      <c r="D73" s="6">
        <v>33</v>
      </c>
    </row>
    <row r="74" spans="1:4" x14ac:dyDescent="0.3">
      <c r="A74" s="5">
        <v>33</v>
      </c>
      <c r="B74" s="6">
        <v>8</v>
      </c>
      <c r="C74" s="6">
        <v>13</v>
      </c>
      <c r="D74" s="6">
        <v>21</v>
      </c>
    </row>
    <row r="75" spans="1:4" x14ac:dyDescent="0.3">
      <c r="A75" s="5">
        <v>34</v>
      </c>
      <c r="B75" s="6">
        <v>12</v>
      </c>
      <c r="C75" s="6">
        <v>19</v>
      </c>
      <c r="D75" s="6">
        <v>31</v>
      </c>
    </row>
    <row r="76" spans="1:4" x14ac:dyDescent="0.3">
      <c r="A76" s="5">
        <v>35</v>
      </c>
      <c r="B76" s="6">
        <v>14</v>
      </c>
      <c r="C76" s="6">
        <v>22</v>
      </c>
      <c r="D76" s="6">
        <v>36</v>
      </c>
    </row>
    <row r="77" spans="1:4" x14ac:dyDescent="0.3">
      <c r="A77" s="5">
        <v>36</v>
      </c>
      <c r="B77" s="6">
        <v>7</v>
      </c>
      <c r="C77" s="6">
        <v>30</v>
      </c>
      <c r="D77" s="6">
        <v>37</v>
      </c>
    </row>
    <row r="78" spans="1:4" x14ac:dyDescent="0.3">
      <c r="A78" s="5">
        <v>37</v>
      </c>
      <c r="B78" s="6">
        <v>4</v>
      </c>
      <c r="C78" s="6">
        <v>28</v>
      </c>
      <c r="D78" s="6">
        <v>32</v>
      </c>
    </row>
    <row r="79" spans="1:4" x14ac:dyDescent="0.3">
      <c r="A79" s="5">
        <v>38</v>
      </c>
      <c r="B79" s="6">
        <v>8</v>
      </c>
      <c r="C79" s="6">
        <v>29</v>
      </c>
      <c r="D79" s="6">
        <v>37</v>
      </c>
    </row>
    <row r="80" spans="1:4" x14ac:dyDescent="0.3">
      <c r="A80" s="5">
        <v>39</v>
      </c>
      <c r="B80" s="6">
        <v>10</v>
      </c>
      <c r="C80" s="6">
        <v>12</v>
      </c>
      <c r="D80" s="6">
        <v>22</v>
      </c>
    </row>
    <row r="81" spans="1:4" x14ac:dyDescent="0.3">
      <c r="A81" s="5">
        <v>40</v>
      </c>
      <c r="B81" s="6">
        <v>24</v>
      </c>
      <c r="C81" s="6">
        <v>18</v>
      </c>
      <c r="D81" s="6">
        <v>42</v>
      </c>
    </row>
    <row r="82" spans="1:4" x14ac:dyDescent="0.3">
      <c r="A82" s="5">
        <v>41</v>
      </c>
      <c r="B82" s="6">
        <v>13</v>
      </c>
      <c r="C82" s="6">
        <v>15</v>
      </c>
      <c r="D82" s="6">
        <v>28</v>
      </c>
    </row>
    <row r="83" spans="1:4" x14ac:dyDescent="0.3">
      <c r="A83" s="5">
        <v>42</v>
      </c>
      <c r="B83" s="6">
        <v>22</v>
      </c>
      <c r="C83" s="6">
        <v>12</v>
      </c>
      <c r="D83" s="6">
        <v>34</v>
      </c>
    </row>
    <row r="84" spans="1:4" x14ac:dyDescent="0.3">
      <c r="A84" s="5">
        <v>43</v>
      </c>
      <c r="B84" s="6">
        <v>17</v>
      </c>
      <c r="C84" s="6">
        <v>19</v>
      </c>
      <c r="D84" s="6">
        <v>36</v>
      </c>
    </row>
    <row r="85" spans="1:4" x14ac:dyDescent="0.3">
      <c r="A85" s="5">
        <v>44</v>
      </c>
      <c r="B85" s="6">
        <v>15</v>
      </c>
      <c r="C85" s="6">
        <v>12</v>
      </c>
      <c r="D85" s="6">
        <v>27</v>
      </c>
    </row>
    <row r="86" spans="1:4" x14ac:dyDescent="0.3">
      <c r="A86" s="5">
        <v>45</v>
      </c>
      <c r="B86" s="6">
        <v>18</v>
      </c>
      <c r="C86" s="6">
        <v>13</v>
      </c>
      <c r="D86" s="6">
        <v>31</v>
      </c>
    </row>
    <row r="87" spans="1:4" x14ac:dyDescent="0.3">
      <c r="A87" s="5">
        <v>46</v>
      </c>
      <c r="B87" s="6">
        <v>12</v>
      </c>
      <c r="C87" s="6">
        <v>15</v>
      </c>
      <c r="D87" s="6">
        <v>27</v>
      </c>
    </row>
    <row r="88" spans="1:4" x14ac:dyDescent="0.3">
      <c r="A88" s="5">
        <v>47</v>
      </c>
      <c r="B88" s="6">
        <v>19</v>
      </c>
      <c r="C88" s="6">
        <v>20</v>
      </c>
      <c r="D88" s="6">
        <v>39</v>
      </c>
    </row>
    <row r="89" spans="1:4" x14ac:dyDescent="0.3">
      <c r="A89" s="5">
        <v>48</v>
      </c>
      <c r="B89" s="6">
        <v>16</v>
      </c>
      <c r="C89" s="6">
        <v>13</v>
      </c>
      <c r="D89" s="6">
        <v>29</v>
      </c>
    </row>
    <row r="90" spans="1:4" x14ac:dyDescent="0.3">
      <c r="A90" s="5">
        <v>49</v>
      </c>
      <c r="B90" s="6">
        <v>15</v>
      </c>
      <c r="C90" s="6">
        <v>8</v>
      </c>
      <c r="D90" s="6">
        <v>23</v>
      </c>
    </row>
    <row r="91" spans="1:4" x14ac:dyDescent="0.3">
      <c r="A91" s="5">
        <v>50</v>
      </c>
      <c r="B91" s="6">
        <v>12</v>
      </c>
      <c r="C91" s="6">
        <v>12</v>
      </c>
      <c r="D91" s="6">
        <v>24</v>
      </c>
    </row>
    <row r="92" spans="1:4" x14ac:dyDescent="0.3">
      <c r="A92" s="5">
        <v>51</v>
      </c>
      <c r="B92" s="6">
        <v>10</v>
      </c>
      <c r="C92" s="6">
        <v>12</v>
      </c>
      <c r="D92" s="6">
        <v>22</v>
      </c>
    </row>
    <row r="93" spans="1:4" x14ac:dyDescent="0.3">
      <c r="A93" s="5">
        <v>52</v>
      </c>
      <c r="B93" s="6">
        <v>10</v>
      </c>
      <c r="C93" s="6">
        <v>15</v>
      </c>
      <c r="D93" s="6">
        <v>25</v>
      </c>
    </row>
    <row r="94" spans="1:4" x14ac:dyDescent="0.3">
      <c r="A94" s="5">
        <v>53</v>
      </c>
      <c r="B94" s="6">
        <v>11</v>
      </c>
      <c r="C94" s="6">
        <v>13</v>
      </c>
      <c r="D94" s="6">
        <v>24</v>
      </c>
    </row>
    <row r="95" spans="1:4" x14ac:dyDescent="0.3">
      <c r="A95" s="5">
        <v>54</v>
      </c>
      <c r="B95" s="6">
        <v>5</v>
      </c>
      <c r="C95" s="6">
        <v>11</v>
      </c>
      <c r="D95" s="6">
        <v>16</v>
      </c>
    </row>
    <row r="96" spans="1:4" x14ac:dyDescent="0.3">
      <c r="A96" s="5">
        <v>55</v>
      </c>
      <c r="B96" s="6">
        <v>13</v>
      </c>
      <c r="C96" s="6">
        <v>5</v>
      </c>
      <c r="D96" s="6">
        <v>18</v>
      </c>
    </row>
    <row r="97" spans="1:4" x14ac:dyDescent="0.3">
      <c r="A97" s="5">
        <v>56</v>
      </c>
      <c r="B97" s="6">
        <v>13</v>
      </c>
      <c r="C97" s="6">
        <v>3</v>
      </c>
      <c r="D97" s="6">
        <v>16</v>
      </c>
    </row>
    <row r="98" spans="1:4" x14ac:dyDescent="0.3">
      <c r="A98" s="5">
        <v>57</v>
      </c>
      <c r="B98" s="6">
        <v>4</v>
      </c>
      <c r="C98" s="6">
        <v>4</v>
      </c>
      <c r="D98" s="6">
        <v>8</v>
      </c>
    </row>
    <row r="99" spans="1:4" x14ac:dyDescent="0.3">
      <c r="A99" s="5">
        <v>58</v>
      </c>
      <c r="B99" s="6">
        <v>8</v>
      </c>
      <c r="C99" s="6">
        <v>4</v>
      </c>
      <c r="D99" s="6">
        <v>12</v>
      </c>
    </row>
    <row r="100" spans="1:4" x14ac:dyDescent="0.3">
      <c r="A100" s="5">
        <v>59</v>
      </c>
      <c r="B100" s="6">
        <v>14</v>
      </c>
      <c r="C100" s="6">
        <v>6</v>
      </c>
      <c r="D100" s="6">
        <v>20</v>
      </c>
    </row>
    <row r="101" spans="1:4" x14ac:dyDescent="0.3">
      <c r="A101" s="5">
        <v>60</v>
      </c>
      <c r="B101" s="6">
        <v>8</v>
      </c>
      <c r="C101" s="6">
        <v>7</v>
      </c>
      <c r="D101" s="6">
        <v>15</v>
      </c>
    </row>
    <row r="102" spans="1:4" x14ac:dyDescent="0.3">
      <c r="A102" s="5">
        <v>61</v>
      </c>
      <c r="B102" s="6">
        <v>5</v>
      </c>
      <c r="C102" s="6">
        <v>4</v>
      </c>
      <c r="D102" s="6">
        <v>9</v>
      </c>
    </row>
    <row r="103" spans="1:4" x14ac:dyDescent="0.3">
      <c r="A103" s="5">
        <v>62</v>
      </c>
      <c r="B103" s="6">
        <v>9</v>
      </c>
      <c r="C103" s="6">
        <v>4</v>
      </c>
      <c r="D103" s="6">
        <v>13</v>
      </c>
    </row>
    <row r="104" spans="1:4" x14ac:dyDescent="0.3">
      <c r="A104" s="5">
        <v>63</v>
      </c>
      <c r="B104" s="6">
        <v>7</v>
      </c>
      <c r="C104" s="6">
        <v>2</v>
      </c>
      <c r="D104" s="6">
        <v>9</v>
      </c>
    </row>
    <row r="105" spans="1:4" x14ac:dyDescent="0.3">
      <c r="A105" s="5">
        <v>64</v>
      </c>
      <c r="B105" s="6">
        <v>7</v>
      </c>
      <c r="C105" s="6">
        <v>3</v>
      </c>
      <c r="D105" s="6">
        <v>10</v>
      </c>
    </row>
    <row r="106" spans="1:4" x14ac:dyDescent="0.3">
      <c r="A106" s="5">
        <v>65</v>
      </c>
      <c r="B106" s="6">
        <v>6</v>
      </c>
      <c r="C106" s="6">
        <v>3</v>
      </c>
      <c r="D106" s="6">
        <v>9</v>
      </c>
    </row>
    <row r="107" spans="1:4" x14ac:dyDescent="0.3">
      <c r="A107" s="5">
        <v>66</v>
      </c>
      <c r="B107" s="6">
        <v>8</v>
      </c>
      <c r="C107" s="6">
        <v>6</v>
      </c>
      <c r="D107" s="6">
        <v>14</v>
      </c>
    </row>
    <row r="108" spans="1:4" x14ac:dyDescent="0.3">
      <c r="A108" s="5">
        <v>67</v>
      </c>
      <c r="B108" s="6">
        <v>8</v>
      </c>
      <c r="C108" s="6">
        <v>2</v>
      </c>
      <c r="D108" s="6">
        <v>10</v>
      </c>
    </row>
    <row r="109" spans="1:4" x14ac:dyDescent="0.3">
      <c r="A109" s="5">
        <v>68</v>
      </c>
      <c r="B109" s="6">
        <v>3</v>
      </c>
      <c r="C109" s="6"/>
      <c r="D109" s="6">
        <v>3</v>
      </c>
    </row>
    <row r="110" spans="1:4" x14ac:dyDescent="0.3">
      <c r="A110" s="5">
        <v>69</v>
      </c>
      <c r="B110" s="6">
        <v>8</v>
      </c>
      <c r="C110" s="6"/>
      <c r="D110" s="6">
        <v>8</v>
      </c>
    </row>
    <row r="111" spans="1:4" x14ac:dyDescent="0.3">
      <c r="A111" s="5">
        <v>70</v>
      </c>
      <c r="B111" s="6">
        <v>3</v>
      </c>
      <c r="C111" s="6">
        <v>1</v>
      </c>
      <c r="D111" s="6">
        <v>4</v>
      </c>
    </row>
    <row r="112" spans="1:4" x14ac:dyDescent="0.3">
      <c r="A112" s="5">
        <v>71</v>
      </c>
      <c r="B112" s="6">
        <v>1</v>
      </c>
      <c r="C112" s="6"/>
      <c r="D112" s="6">
        <v>1</v>
      </c>
    </row>
    <row r="113" spans="1:4" x14ac:dyDescent="0.3">
      <c r="A113" s="5">
        <v>72</v>
      </c>
      <c r="B113" s="6"/>
      <c r="C113" s="6">
        <v>1</v>
      </c>
      <c r="D113" s="6">
        <v>1</v>
      </c>
    </row>
    <row r="114" spans="1:4" x14ac:dyDescent="0.3">
      <c r="A114" s="5">
        <v>73</v>
      </c>
      <c r="B114" s="6">
        <v>2</v>
      </c>
      <c r="C114" s="6">
        <v>2</v>
      </c>
      <c r="D114" s="6">
        <v>4</v>
      </c>
    </row>
    <row r="115" spans="1:4" x14ac:dyDescent="0.3">
      <c r="A115" s="5">
        <v>74</v>
      </c>
      <c r="B115" s="6"/>
      <c r="C115" s="6">
        <v>1</v>
      </c>
      <c r="D115" s="6">
        <v>1</v>
      </c>
    </row>
    <row r="116" spans="1:4" x14ac:dyDescent="0.3">
      <c r="A116" s="5">
        <v>78</v>
      </c>
      <c r="B116" s="6">
        <v>1</v>
      </c>
      <c r="C116" s="6">
        <v>1</v>
      </c>
      <c r="D116" s="6">
        <v>2</v>
      </c>
    </row>
    <row r="117" spans="1:4" x14ac:dyDescent="0.3">
      <c r="A117" s="5">
        <v>80</v>
      </c>
      <c r="B117" s="6">
        <v>1</v>
      </c>
      <c r="C117" s="6"/>
      <c r="D117" s="6">
        <v>1</v>
      </c>
    </row>
    <row r="118" spans="1:4" x14ac:dyDescent="0.3">
      <c r="A118" s="5">
        <v>89</v>
      </c>
      <c r="B118" s="6">
        <v>1</v>
      </c>
      <c r="C118" s="6"/>
      <c r="D118" s="6">
        <v>1</v>
      </c>
    </row>
    <row r="119" spans="1:4" x14ac:dyDescent="0.3">
      <c r="A119" s="5" t="s">
        <v>42</v>
      </c>
      <c r="B119" s="6">
        <v>519</v>
      </c>
      <c r="C119" s="6">
        <v>481</v>
      </c>
      <c r="D119" s="6">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9000D-B05D-40EA-BE83-A7ED67A2A11B}">
  <dimension ref="A1:S6"/>
  <sheetViews>
    <sheetView showGridLines="0" tabSelected="1" zoomScale="80" zoomScaleNormal="80" workbookViewId="0">
      <selection activeCell="V18" sqref="V18"/>
    </sheetView>
  </sheetViews>
  <sheetFormatPr defaultRowHeight="14.4" x14ac:dyDescent="0.3"/>
  <sheetData>
    <row r="1" spans="1:19" x14ac:dyDescent="0.3">
      <c r="A1" s="7"/>
      <c r="B1" s="7"/>
      <c r="C1" s="8" t="s">
        <v>50</v>
      </c>
      <c r="D1" s="9"/>
      <c r="E1" s="9"/>
      <c r="F1" s="9"/>
      <c r="G1" s="9"/>
      <c r="H1" s="9"/>
      <c r="I1" s="9"/>
      <c r="J1" s="9"/>
      <c r="K1" s="9"/>
      <c r="L1" s="9"/>
      <c r="M1" s="9"/>
      <c r="N1" s="9"/>
      <c r="O1" s="9"/>
      <c r="P1" s="7"/>
      <c r="Q1" s="7"/>
      <c r="R1" s="7"/>
      <c r="S1" s="7"/>
    </row>
    <row r="2" spans="1:19" x14ac:dyDescent="0.3">
      <c r="A2" s="7"/>
      <c r="B2" s="7"/>
      <c r="C2" s="9"/>
      <c r="D2" s="9"/>
      <c r="E2" s="9"/>
      <c r="F2" s="9"/>
      <c r="G2" s="9"/>
      <c r="H2" s="9"/>
      <c r="I2" s="9"/>
      <c r="J2" s="9"/>
      <c r="K2" s="9"/>
      <c r="L2" s="9"/>
      <c r="M2" s="9"/>
      <c r="N2" s="9"/>
      <c r="O2" s="9"/>
      <c r="P2" s="7"/>
      <c r="Q2" s="7"/>
      <c r="R2" s="7"/>
      <c r="S2" s="7"/>
    </row>
    <row r="3" spans="1:19" x14ac:dyDescent="0.3">
      <c r="A3" s="7"/>
      <c r="B3" s="7"/>
      <c r="C3" s="9"/>
      <c r="D3" s="9"/>
      <c r="E3" s="9"/>
      <c r="F3" s="9"/>
      <c r="G3" s="9"/>
      <c r="H3" s="9"/>
      <c r="I3" s="9"/>
      <c r="J3" s="9"/>
      <c r="K3" s="9"/>
      <c r="L3" s="9"/>
      <c r="M3" s="9"/>
      <c r="N3" s="9"/>
      <c r="O3" s="9"/>
      <c r="P3" s="7"/>
      <c r="Q3" s="7"/>
      <c r="R3" s="7"/>
      <c r="S3" s="7"/>
    </row>
    <row r="4" spans="1:19" x14ac:dyDescent="0.3">
      <c r="A4" s="7"/>
      <c r="B4" s="7"/>
      <c r="C4" s="9"/>
      <c r="D4" s="9"/>
      <c r="E4" s="9"/>
      <c r="F4" s="9"/>
      <c r="G4" s="9"/>
      <c r="H4" s="9"/>
      <c r="I4" s="9"/>
      <c r="J4" s="9"/>
      <c r="K4" s="9"/>
      <c r="L4" s="9"/>
      <c r="M4" s="9"/>
      <c r="N4" s="9"/>
      <c r="O4" s="9"/>
      <c r="P4" s="7"/>
      <c r="Q4" s="7"/>
      <c r="R4" s="7"/>
      <c r="S4" s="7"/>
    </row>
    <row r="5" spans="1:19" x14ac:dyDescent="0.3">
      <c r="A5" s="7"/>
      <c r="B5" s="7"/>
      <c r="C5" s="9"/>
      <c r="D5" s="9"/>
      <c r="E5" s="9"/>
      <c r="F5" s="9"/>
      <c r="G5" s="9"/>
      <c r="H5" s="9"/>
      <c r="I5" s="9"/>
      <c r="J5" s="9"/>
      <c r="K5" s="9"/>
      <c r="L5" s="9"/>
      <c r="M5" s="9"/>
      <c r="N5" s="9"/>
      <c r="O5" s="9"/>
      <c r="P5" s="7"/>
      <c r="Q5" s="7"/>
      <c r="R5" s="7"/>
      <c r="S5" s="7"/>
    </row>
    <row r="6" spans="1:19" x14ac:dyDescent="0.3">
      <c r="A6" s="7"/>
      <c r="B6" s="7"/>
      <c r="C6" s="9"/>
      <c r="D6" s="9"/>
      <c r="E6" s="9"/>
      <c r="F6" s="9"/>
      <c r="G6" s="9"/>
      <c r="H6" s="9"/>
      <c r="I6" s="9"/>
      <c r="J6" s="9"/>
      <c r="K6" s="9"/>
      <c r="L6" s="9"/>
      <c r="M6" s="9"/>
      <c r="N6" s="9"/>
      <c r="O6" s="9"/>
      <c r="P6" s="7"/>
      <c r="Q6" s="7"/>
      <c r="R6" s="7"/>
      <c r="S6" s="7"/>
    </row>
  </sheetData>
  <mergeCells count="1">
    <mergeCell ref="C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MoHameD AmERr</cp:lastModifiedBy>
  <dcterms:created xsi:type="dcterms:W3CDTF">2022-03-18T02:50:57Z</dcterms:created>
  <dcterms:modified xsi:type="dcterms:W3CDTF">2025-11-14T20:58:52Z</dcterms:modified>
</cp:coreProperties>
</file>